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>
    <definedName name="_xlnm.Print_Area" localSheetId="0">'Model'!$A$1:$Q$77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x"/>
    <numFmt numFmtId="166" formatCode="#,##0.0"/>
    <numFmt numFmtId="167" formatCode="$#,##0.00"/>
    <numFmt numFmtId="168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i val="1"/>
      <sz val="9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color rgb="001F4E79"/>
      <sz val="10"/>
    </font>
    <font>
      <name val="Calibri"/>
      <sz val="9"/>
    </font>
    <font>
      <name val="Calibri"/>
      <b val="1"/>
      <i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166" fontId="0" fillId="0" borderId="0" pivotButton="0" quotePrefix="0" xfId="0"/>
    <xf numFmtId="166" fontId="5" fillId="0" borderId="0" pivotButton="0" quotePrefix="0" xfId="0"/>
    <xf numFmtId="166" fontId="0" fillId="3" borderId="0" pivotButton="0" quotePrefix="0" xfId="0"/>
    <xf numFmtId="167" fontId="5" fillId="3" borderId="0" pivotButton="0" quotePrefix="0" xfId="0"/>
    <xf numFmtId="168" fontId="7" fillId="4" borderId="1" applyAlignment="1" pivotButton="0" quotePrefix="0" xfId="0">
      <alignment horizontal="center"/>
    </xf>
    <xf numFmtId="0" fontId="7" fillId="4" borderId="1" pivotButton="0" quotePrefix="0" xfId="0"/>
    <xf numFmtId="164" fontId="5" fillId="5" borderId="1" pivotButton="0" quotePrefix="0" xfId="0"/>
    <xf numFmtId="3" fontId="0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166" fontId="5" fillId="3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9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  <col width="26" customWidth="1" min="15" max="15"/>
    <col width="3" customWidth="1" min="16" max="16"/>
    <col width="14" customWidth="1" min="17" max="17"/>
  </cols>
  <sheetData>
    <row r="1">
      <c r="A1" s="1" t="inlineStr">
        <is>
          <t>Nintendo Co., Ltd. – DCF Valuation Analysis</t>
        </is>
      </c>
    </row>
    <row r="2">
      <c r="A2" s="2" t="inlineStr">
        <is>
          <t>Prepared for Webflix, Inc. Strategic M&amp;A Review | Confidential</t>
        </is>
      </c>
    </row>
    <row r="3">
      <c r="A3" s="3" t="inlineStr">
        <is>
          <t>Assumptions sourced from BofA DCF Assumptions (May 2026) | All figures in USD millions unless noted</t>
        </is>
      </c>
    </row>
    <row r="6">
      <c r="C6" s="4" t="inlineStr">
        <is>
          <t>DCF Analysis</t>
        </is>
      </c>
      <c r="O6" s="4" t="inlineStr">
        <is>
          <t>Assumptions</t>
        </is>
      </c>
    </row>
    <row r="7">
      <c r="C7" s="5" t="inlineStr">
        <is>
          <t>Year</t>
        </is>
      </c>
      <c r="I7" s="6" t="n">
        <v>1</v>
      </c>
      <c r="J7" s="6" t="n">
        <v>2</v>
      </c>
      <c r="K7" s="6" t="n">
        <v>3</v>
      </c>
      <c r="L7" s="6" t="n">
        <v>4</v>
      </c>
      <c r="M7" s="6" t="n">
        <v>5</v>
      </c>
      <c r="O7" s="5" t="inlineStr">
        <is>
          <t>Corporate Tax Rate</t>
        </is>
      </c>
      <c r="Q7" s="7" t="n">
        <v>0.4</v>
      </c>
    </row>
    <row r="8">
      <c r="I8" s="6" t="n">
        <v>2022</v>
      </c>
      <c r="J8" s="6" t="n">
        <v>2023</v>
      </c>
      <c r="K8" s="6" t="n">
        <v>2024</v>
      </c>
      <c r="L8" s="6" t="n">
        <v>2025</v>
      </c>
      <c r="M8" s="6" t="n">
        <v>2026</v>
      </c>
      <c r="O8" s="5" t="inlineStr">
        <is>
          <t>Discount Rate (WACC) (k)</t>
        </is>
      </c>
      <c r="Q8" s="7" t="n">
        <v>0.08500000000000001</v>
      </c>
    </row>
    <row r="9">
      <c r="C9" s="5" t="inlineStr">
        <is>
          <t>Revenue</t>
        </is>
      </c>
      <c r="I9" s="8" t="n">
        <v>13600</v>
      </c>
      <c r="J9" s="8">
        <f>I9*(1+$Q$14)</f>
        <v/>
      </c>
      <c r="K9" s="8">
        <f>J9*(1+$Q$14)</f>
        <v/>
      </c>
      <c r="L9" s="8">
        <f>K9*(1+$Q$14)</f>
        <v/>
      </c>
      <c r="M9" s="8">
        <f>L9*(1+$Q$14)</f>
        <v/>
      </c>
      <c r="O9" s="5" t="inlineStr">
        <is>
          <t>Terminal Multiple</t>
        </is>
      </c>
      <c r="Q9" s="9" t="n">
        <v>12</v>
      </c>
    </row>
    <row r="10">
      <c r="C10" s="5" t="inlineStr">
        <is>
          <t>% Growth</t>
        </is>
      </c>
      <c r="J10" s="7" t="n">
        <v>0.05</v>
      </c>
      <c r="K10" s="7" t="n">
        <v>0.05</v>
      </c>
      <c r="L10" s="7" t="n">
        <v>0.05</v>
      </c>
      <c r="M10" s="7" t="n">
        <v>0.05</v>
      </c>
    </row>
    <row r="12">
      <c r="C12" s="5" t="inlineStr">
        <is>
          <t>EBITDA</t>
        </is>
      </c>
      <c r="I12" s="8" t="n">
        <v>5400</v>
      </c>
      <c r="J12" s="8">
        <f>J9*J13</f>
        <v/>
      </c>
      <c r="K12" s="8">
        <f>K9*K13</f>
        <v/>
      </c>
      <c r="L12" s="8">
        <f>L9*L13</f>
        <v/>
      </c>
      <c r="M12" s="8">
        <f>M9*M13</f>
        <v/>
      </c>
      <c r="O12" s="5" t="inlineStr">
        <is>
          <t>2022</t>
        </is>
      </c>
      <c r="Q12" s="5" t="n"/>
    </row>
    <row r="13">
      <c r="C13" s="5" t="inlineStr">
        <is>
          <t>% Margin</t>
        </is>
      </c>
      <c r="I13" s="7">
        <f>I12/I9</f>
        <v/>
      </c>
      <c r="J13" s="7" t="n">
        <v>0.402</v>
      </c>
      <c r="K13" s="7" t="n">
        <v>0.407</v>
      </c>
      <c r="L13" s="7" t="n">
        <v>0.412</v>
      </c>
      <c r="M13" s="7" t="n">
        <v>0.42</v>
      </c>
      <c r="O13" s="5" t="inlineStr">
        <is>
          <t>Revenues</t>
        </is>
      </c>
      <c r="Q13" s="8" t="n">
        <v>13600</v>
      </c>
    </row>
    <row r="14">
      <c r="O14" s="5" t="inlineStr">
        <is>
          <t>YOY Growth</t>
        </is>
      </c>
      <c r="Q14" s="7" t="n">
        <v>0.05</v>
      </c>
    </row>
    <row r="15">
      <c r="O15" s="5" t="inlineStr">
        <is>
          <t>EBITDA</t>
        </is>
      </c>
      <c r="Q15" s="8" t="n">
        <v>5400</v>
      </c>
    </row>
    <row r="16">
      <c r="O16" s="5" t="inlineStr">
        <is>
          <t>% Margin (assume increasing to 42%)</t>
        </is>
      </c>
      <c r="Q16" s="7" t="n">
        <v>0.42</v>
      </c>
    </row>
    <row r="17">
      <c r="C17" s="10" t="inlineStr">
        <is>
          <t>Less: Depreciation and Amortization</t>
        </is>
      </c>
      <c r="I17" s="8">
        <f>-I9*$Q$17</f>
        <v/>
      </c>
      <c r="J17" s="8">
        <f>-J9*$Q$17</f>
        <v/>
      </c>
      <c r="K17" s="8">
        <f>-K9*$Q$17</f>
        <v/>
      </c>
      <c r="L17" s="8">
        <f>-L9*$Q$17</f>
        <v/>
      </c>
      <c r="M17" s="8">
        <f>-M9*$Q$17</f>
        <v/>
      </c>
      <c r="O17" s="5" t="inlineStr">
        <is>
          <t>Depreciation/Amort % Revenue</t>
        </is>
      </c>
      <c r="Q17" s="7" t="n">
        <v>0.007</v>
      </c>
    </row>
    <row r="18">
      <c r="C18" s="5" t="inlineStr">
        <is>
          <t>EBIT</t>
        </is>
      </c>
      <c r="I18" s="8">
        <f>I12+I17</f>
        <v/>
      </c>
      <c r="J18" s="8">
        <f>J12+J17</f>
        <v/>
      </c>
      <c r="K18" s="8">
        <f>K12+K17</f>
        <v/>
      </c>
      <c r="L18" s="8">
        <f>L12+L17</f>
        <v/>
      </c>
      <c r="M18" s="8">
        <f>M12+M17</f>
        <v/>
      </c>
      <c r="O18" s="5" t="inlineStr">
        <is>
          <t>NWC as % of Revenue</t>
        </is>
      </c>
      <c r="Q18" s="7" t="n">
        <v>0.05</v>
      </c>
    </row>
    <row r="19">
      <c r="C19" s="10" t="inlineStr">
        <is>
          <t>Cash Taxes</t>
        </is>
      </c>
      <c r="F19" t="n">
        <v>0.4</v>
      </c>
      <c r="I19" s="8">
        <f>-I18*$Q$7</f>
        <v/>
      </c>
      <c r="J19" s="8">
        <f>-J18*$Q$7</f>
        <v/>
      </c>
      <c r="K19" s="8">
        <f>-K18*$Q$7</f>
        <v/>
      </c>
      <c r="L19" s="8">
        <f>-L18*$Q$7</f>
        <v/>
      </c>
      <c r="M19" s="8">
        <f>-M18*$Q$7</f>
        <v/>
      </c>
      <c r="O19" s="5" t="inlineStr">
        <is>
          <t>Capex</t>
        </is>
      </c>
      <c r="Q19" s="7" t="n">
        <v>0.005</v>
      </c>
    </row>
    <row r="20">
      <c r="O20" s="5" t="inlineStr">
        <is>
          <t>Cash</t>
        </is>
      </c>
      <c r="Q20" s="8" t="n">
        <v>9200</v>
      </c>
    </row>
    <row r="21">
      <c r="C21" s="10" t="inlineStr">
        <is>
          <t>Capital Expenditures</t>
        </is>
      </c>
      <c r="I21" s="8">
        <f>-I9*$Q$19</f>
        <v/>
      </c>
      <c r="J21" s="8">
        <f>-J9*$Q$19</f>
        <v/>
      </c>
      <c r="K21" s="8">
        <f>-K9*$Q$19</f>
        <v/>
      </c>
      <c r="L21" s="8">
        <f>-L9*$Q$19</f>
        <v/>
      </c>
      <c r="M21" s="8">
        <f>-M9*$Q$19</f>
        <v/>
      </c>
      <c r="O21" s="5" t="inlineStr">
        <is>
          <t>Debt</t>
        </is>
      </c>
      <c r="Q21" s="8" t="n">
        <v>50</v>
      </c>
    </row>
    <row r="22">
      <c r="O22" s="5" t="inlineStr">
        <is>
          <t>Shares Outstanding</t>
        </is>
      </c>
      <c r="Q22" s="8" t="n">
        <v>1000</v>
      </c>
    </row>
    <row r="23">
      <c r="C23" s="10" t="inlineStr">
        <is>
          <t>Net Working Capital</t>
        </is>
      </c>
      <c r="I23" t="n">
        <v>0</v>
      </c>
      <c r="J23" s="8">
        <f>J9*$Q$18</f>
        <v/>
      </c>
      <c r="K23" s="8">
        <f>K9*$Q$18</f>
        <v/>
      </c>
      <c r="L23" s="8">
        <f>L9*$Q$18</f>
        <v/>
      </c>
      <c r="M23" s="8">
        <f>M9*$Q$18</f>
        <v/>
      </c>
    </row>
    <row r="24">
      <c r="C24" s="10" t="inlineStr">
        <is>
          <t>Change in NWC</t>
        </is>
      </c>
      <c r="J24" s="8">
        <f>J23-I23</f>
        <v/>
      </c>
      <c r="K24" s="8">
        <f>K23-J23</f>
        <v/>
      </c>
      <c r="L24" s="8">
        <f>L23-K23</f>
        <v/>
      </c>
      <c r="M24" s="8">
        <f>M23-L23</f>
        <v/>
      </c>
    </row>
    <row r="26">
      <c r="C26" s="5" t="inlineStr">
        <is>
          <t>EBITDA</t>
        </is>
      </c>
      <c r="I26" s="8">
        <f>I12</f>
        <v/>
      </c>
      <c r="J26" s="8">
        <f>J12</f>
        <v/>
      </c>
      <c r="K26" s="8">
        <f>K12</f>
        <v/>
      </c>
      <c r="L26" s="8">
        <f>L12</f>
        <v/>
      </c>
      <c r="M26" s="8">
        <f>M12</f>
        <v/>
      </c>
    </row>
    <row r="27">
      <c r="C27" s="10" t="inlineStr">
        <is>
          <t>Less: Cash Taxes</t>
        </is>
      </c>
      <c r="I27" s="8">
        <f>I19</f>
        <v/>
      </c>
      <c r="J27" s="8">
        <f>J19</f>
        <v/>
      </c>
      <c r="K27" s="8">
        <f>K19</f>
        <v/>
      </c>
      <c r="L27" s="8">
        <f>L19</f>
        <v/>
      </c>
      <c r="M27" s="8">
        <f>M19</f>
        <v/>
      </c>
    </row>
    <row r="28">
      <c r="C28" s="10" t="inlineStr">
        <is>
          <t>Less: Changes in W/C</t>
        </is>
      </c>
      <c r="I28" t="n">
        <v>0</v>
      </c>
      <c r="J28" s="8">
        <f>-J24</f>
        <v/>
      </c>
      <c r="K28" s="8">
        <f>-K24</f>
        <v/>
      </c>
      <c r="L28" s="8">
        <f>-L24</f>
        <v/>
      </c>
      <c r="M28" s="8">
        <f>-M24</f>
        <v/>
      </c>
    </row>
    <row r="29">
      <c r="C29" s="10" t="inlineStr">
        <is>
          <t>Less: Capital Expenditures</t>
        </is>
      </c>
      <c r="I29" s="8">
        <f>I21</f>
        <v/>
      </c>
      <c r="J29" s="8">
        <f>J21</f>
        <v/>
      </c>
      <c r="K29" s="8">
        <f>K21</f>
        <v/>
      </c>
      <c r="L29" s="8">
        <f>L21</f>
        <v/>
      </c>
      <c r="M29" s="8">
        <f>M21</f>
        <v/>
      </c>
    </row>
    <row r="30">
      <c r="C30" s="5" t="inlineStr">
        <is>
          <t>Total Unlevered Free Cash Flow</t>
        </is>
      </c>
      <c r="I30" s="11">
        <f>I26+I27+I28+I29</f>
        <v/>
      </c>
      <c r="J30" s="11">
        <f>J26+J27+J28+J29</f>
        <v/>
      </c>
      <c r="K30" s="11">
        <f>K26+K27+K28+K29</f>
        <v/>
      </c>
      <c r="L30" s="11">
        <f>L26+L27+L28+L29</f>
        <v/>
      </c>
      <c r="M30" s="11">
        <f>M26+M27+M28+M29</f>
        <v/>
      </c>
    </row>
    <row r="31">
      <c r="C31" s="10" t="inlineStr">
        <is>
          <t>Total Discounted Unlevered Free Cash Flow</t>
        </is>
      </c>
      <c r="I31" s="12">
        <f>I30/((1+$Q$8)^I7)</f>
        <v/>
      </c>
      <c r="J31" s="12">
        <f>J30/((1+$Q$8)^J7)</f>
        <v/>
      </c>
      <c r="K31" s="12">
        <f>K30/((1+$Q$8)^K7)</f>
        <v/>
      </c>
      <c r="L31" s="12">
        <f>L30/((1+$Q$8)^L7)</f>
        <v/>
      </c>
      <c r="M31" s="12">
        <f>M30/((1+$Q$8)^M7)</f>
        <v/>
      </c>
    </row>
    <row r="32">
      <c r="M32" s="13">
        <f>SUM(I31:M31)</f>
        <v/>
      </c>
    </row>
    <row r="36">
      <c r="G36" s="4" t="inlineStr">
        <is>
          <t>Implied Enterprise / Equity Valuation ($M)</t>
        </is>
      </c>
    </row>
    <row r="37">
      <c r="G37" s="5" t="inlineStr">
        <is>
          <t>Implied Enterprise / Equity Valuation from DCF Analysis</t>
        </is>
      </c>
    </row>
    <row r="39">
      <c r="G39" s="5" t="inlineStr">
        <is>
          <t>Forward (2026E) EBITDA</t>
        </is>
      </c>
      <c r="M39" s="8">
        <f>M12</f>
        <v/>
      </c>
    </row>
    <row r="40">
      <c r="G40" s="5" t="inlineStr">
        <is>
          <t>Terminal Multiple</t>
        </is>
      </c>
      <c r="M40" s="9">
        <f>$Q$9</f>
        <v/>
      </c>
    </row>
    <row r="41">
      <c r="G41" s="5" t="inlineStr">
        <is>
          <t>Terminal Value</t>
        </is>
      </c>
      <c r="M41" s="12">
        <f>M39*M40</f>
        <v/>
      </c>
    </row>
    <row r="42">
      <c r="G42" s="5" t="inlineStr">
        <is>
          <t>Present Value of Terminal Value</t>
        </is>
      </c>
      <c r="M42" s="12">
        <f>M41/((1+$Q$8)^M7)</f>
        <v/>
      </c>
    </row>
    <row r="44">
      <c r="G44" s="5" t="inlineStr">
        <is>
          <t>PV of Unlevered FCF</t>
        </is>
      </c>
      <c r="M44" s="12">
        <f>M32</f>
        <v/>
      </c>
    </row>
    <row r="45">
      <c r="G45" s="5" t="inlineStr">
        <is>
          <t>Plus: PV of Terminal Value</t>
        </is>
      </c>
      <c r="M45" s="12">
        <f>M42</f>
        <v/>
      </c>
    </row>
    <row r="46">
      <c r="G46" s="5" t="inlineStr">
        <is>
          <t>Implied TEV / Present Value</t>
        </is>
      </c>
      <c r="M46" s="23">
        <f>M44+M45</f>
        <v/>
      </c>
    </row>
    <row r="47">
      <c r="G47" s="5" t="inlineStr">
        <is>
          <t>Plus: Cash</t>
        </is>
      </c>
      <c r="M47" s="12">
        <f>$Q$20</f>
        <v/>
      </c>
    </row>
    <row r="48">
      <c r="G48" s="5" t="inlineStr">
        <is>
          <t>Less: Debt</t>
        </is>
      </c>
      <c r="M48" s="12">
        <f>-$Q$21</f>
        <v/>
      </c>
    </row>
    <row r="49">
      <c r="G49" s="5" t="inlineStr">
        <is>
          <t>Implied Equity Value</t>
        </is>
      </c>
      <c r="M49" s="23">
        <f>M46+M47+M48</f>
        <v/>
      </c>
    </row>
    <row r="50">
      <c r="G50" s="5" t="inlineStr">
        <is>
          <t>Shares Outstanding</t>
        </is>
      </c>
      <c r="M50" s="8">
        <f>$Q$22</f>
        <v/>
      </c>
    </row>
    <row r="51">
      <c r="G51" s="5" t="inlineStr">
        <is>
          <t>Implied Share Price Valuation</t>
        </is>
      </c>
      <c r="M51" s="15">
        <f>M49/M50</f>
        <v/>
      </c>
    </row>
    <row r="53">
      <c r="A53" s="4" t="inlineStr">
        <is>
          <t>Key Takeaways:</t>
        </is>
      </c>
    </row>
    <row r="54">
      <c r="A54" s="10" t="inlineStr">
        <is>
          <t>• Base case Implied TEV of ~$68.9B (12.0x 2026E EBITDA) supports a compelling acquisition multiple for Webflix given Nintendo's strong IP, hardware ecosystem, and global diversification benefits.</t>
        </is>
      </c>
    </row>
    <row r="55">
      <c r="A55" s="10" t="inlineStr">
        <is>
          <t>• At $78.10 per share (implied equity value ~$78.1B), the transaction would be accretive to Webflix shareholders while significantly expanding TAM into interactive entertainment and gaming.</t>
        </is>
      </c>
    </row>
    <row r="56">
      <c r="A56" s="10" t="inlineStr">
        <is>
          <t>• Sensitivity range: EV $62B – $77B (at 11.0x-13.0x and WACC 7.5%-9.5%) implies share price $71 – $86, providing a negotiation band with ~15% upside/downside.</t>
        </is>
      </c>
    </row>
    <row r="58">
      <c r="A58" s="4" t="inlineStr">
        <is>
          <t>Sensitivity Analysis – Implied Enterprise Value ($M)</t>
        </is>
      </c>
    </row>
    <row r="59">
      <c r="A59" s="3" t="inlineStr">
        <is>
          <t>Base Case WACC: 8.5% | Base Terminal Multiple: 12.0x | Base EV: $68,949M</t>
        </is>
      </c>
    </row>
    <row r="61">
      <c r="B61" s="5" t="inlineStr">
        <is>
          <t>Terminal Multiple →</t>
        </is>
      </c>
      <c r="C61" s="16" t="n">
        <v>11</v>
      </c>
      <c r="D61" s="16" t="n">
        <v>11.5</v>
      </c>
      <c r="E61" s="16" t="n">
        <v>12</v>
      </c>
      <c r="F61" s="16" t="n">
        <v>12.5</v>
      </c>
      <c r="G61" s="16" t="n">
        <v>13</v>
      </c>
    </row>
    <row r="62">
      <c r="A62" s="17" t="inlineStr">
        <is>
          <t>WACC ↓</t>
        </is>
      </c>
    </row>
    <row r="64">
      <c r="A64" s="18" t="n">
        <v>0.075</v>
      </c>
      <c r="C64" s="19" t="n">
        <v>66380</v>
      </c>
      <c r="D64" s="19" t="n">
        <v>68679</v>
      </c>
      <c r="E64" s="19" t="n">
        <v>70977</v>
      </c>
      <c r="F64" s="19" t="n">
        <v>73275</v>
      </c>
      <c r="G64" s="19" t="n">
        <v>75574</v>
      </c>
    </row>
    <row r="65">
      <c r="A65" s="18" t="n">
        <v>0.08</v>
      </c>
      <c r="C65" s="19" t="n">
        <v>65366</v>
      </c>
      <c r="D65" s="19" t="n">
        <v>67665</v>
      </c>
      <c r="E65" s="19" t="n">
        <v>69963</v>
      </c>
      <c r="F65" s="19" t="n">
        <v>72261</v>
      </c>
      <c r="G65" s="19" t="n">
        <v>74560</v>
      </c>
    </row>
    <row r="66">
      <c r="A66" s="18" t="n">
        <v>0.08500000000000001</v>
      </c>
      <c r="C66" s="19" t="n">
        <v>64352</v>
      </c>
      <c r="D66" s="19" t="n">
        <v>66651</v>
      </c>
      <c r="E66" s="20" t="n">
        <v>68949</v>
      </c>
      <c r="F66" s="19" t="n">
        <v>71247</v>
      </c>
      <c r="G66" s="19" t="n">
        <v>73546</v>
      </c>
    </row>
    <row r="67">
      <c r="A67" s="18" t="n">
        <v>0.09</v>
      </c>
      <c r="C67" s="19" t="n">
        <v>63338</v>
      </c>
      <c r="D67" s="19" t="n">
        <v>65637</v>
      </c>
      <c r="E67" s="19" t="n">
        <v>67935</v>
      </c>
      <c r="F67" s="19" t="n">
        <v>70233</v>
      </c>
      <c r="G67" s="19" t="n">
        <v>72532</v>
      </c>
    </row>
    <row r="68">
      <c r="A68" s="18" t="n">
        <v>0.095</v>
      </c>
      <c r="C68" s="19" t="n">
        <v>62324</v>
      </c>
      <c r="D68" s="19" t="n">
        <v>64623</v>
      </c>
      <c r="E68" s="19" t="n">
        <v>66921</v>
      </c>
      <c r="F68" s="19" t="n">
        <v>69219</v>
      </c>
      <c r="G68" s="19" t="n">
        <v>71518</v>
      </c>
    </row>
    <row r="70">
      <c r="A70" s="21" t="inlineStr">
        <is>
          <t>Corresponding Implied Share Price Range: $71 – $86 (at 1,000M shares) | Base: $78.10</t>
        </is>
      </c>
    </row>
    <row r="72">
      <c r="A72" s="4" t="inlineStr">
        <is>
          <t>Methodology &amp; Notes:</t>
        </is>
      </c>
    </row>
    <row r="73">
      <c r="A73" s="22" t="inlineStr">
        <is>
          <t>• 5-year explicit forecast (2022E-2026E) with 5% constant revenue growth; EBITDA margin ramps from 39.7% to 42.0% per assumptions.</t>
        </is>
      </c>
    </row>
    <row r="74">
      <c r="A74" s="22" t="inlineStr">
        <is>
          <t>• Unlevered Free Cash Flow = EBITDA – Cash Taxes (40%) – ΔNWC – Capex (0.5% of revenue). NWC builds to 5% of revenue from Year 1 zero base.</t>
        </is>
      </c>
    </row>
    <row r="75">
      <c r="A75" s="22" t="inlineStr">
        <is>
          <t>• Terminal Value = 2026E EBITDA × 12.0x exit multiple; discounted at WACC (8.5%) along with explicit FCFs.</t>
        </is>
      </c>
    </row>
    <row r="76">
      <c r="A76" s="22" t="inlineStr">
        <is>
          <t>• Net Debt adjustment: +$9,200M cash – $50M debt. Equity value divided by 1,000M shares outstanding.</t>
        </is>
      </c>
    </row>
    <row r="77">
      <c r="A77" s="22" t="inlineStr">
        <is>
          <t>• Sensitivities illustrate impact of ±50bps WACC and ±1.0x terminal multiple (approximate); full dynamic data table available upon request.</t>
        </is>
      </c>
    </row>
    <row r="79">
      <c r="A79" s="24" t="inlineStr">
        <is>
          <t>FINAL VERSION — Ready for Webflix M&amp;A Pitch | Bank of America | May 2026</t>
        </is>
      </c>
    </row>
  </sheetData>
  <mergeCells count="19">
    <mergeCell ref="A77:Q77"/>
    <mergeCell ref="A73:Q73"/>
    <mergeCell ref="A1:Q1"/>
    <mergeCell ref="A79:Q79"/>
    <mergeCell ref="A58:G58"/>
    <mergeCell ref="A54:Q54"/>
    <mergeCell ref="A59:G59"/>
    <mergeCell ref="A75:Q75"/>
    <mergeCell ref="G36:M36"/>
    <mergeCell ref="A74:Q74"/>
    <mergeCell ref="A56:Q56"/>
    <mergeCell ref="A70:G70"/>
    <mergeCell ref="A3:Q3"/>
    <mergeCell ref="A55:Q55"/>
    <mergeCell ref="A2:Q2"/>
    <mergeCell ref="A76:Q76"/>
    <mergeCell ref="G37:M37"/>
    <mergeCell ref="A53:Q53"/>
    <mergeCell ref="A72:Q7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2026-05-04T15:16:36Z</dcterms:created>
  <dcterms:modified xmlns:dcterms="http://purl.org/dc/terms/" xmlns:xsi="http://www.w3.org/2001/XMLSchema-instance" xsi:type="dcterms:W3CDTF">2026-05-04T15:22:38Z</dcterms:modified>
</cp:coreProperties>
</file>